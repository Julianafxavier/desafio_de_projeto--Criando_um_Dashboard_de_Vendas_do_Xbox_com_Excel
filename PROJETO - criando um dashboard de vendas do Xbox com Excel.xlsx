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ana\Documents\"/>
    </mc:Choice>
  </mc:AlternateContent>
  <xr:revisionPtr revIDLastSave="0" documentId="8_{BF073F0A-840A-40AF-8F6F-432F4171D182}" xr6:coauthVersionLast="46" xr6:coauthVersionMax="46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<sst xmlns="http://schemas.openxmlformats.org/spreadsheetml/2006/main" count="2022" uniqueCount="324">
  <si>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</si>
  <si>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</si>
  <si>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</si>
  <si>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</si>
  <si>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</si>
  <si>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</si>
  <si>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</si>
  <si>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</si>
  <si>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</si>
  <si>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</si>
  <si>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</si>
  <si>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</si>
  <si>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</si>
  <si>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</si>
  <si>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</si>
  <si>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</si>
  <si>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</si>
  <si>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</si>
  <si>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</si>
  <si>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</si>
  <si>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</si>
  <si>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</si>
  <si>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</si>
  <si>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</si>
  <si>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</si>
  <si>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</si>
  <si>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</si>
  <si>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</si>
  <si>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</si>
  <si>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</si>
  <si>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</si>
  <si>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</si>
  <si>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</si>
  <si>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</si>
  <si>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</si>
  <si>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</si>
  <si>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</si>
  <si>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</si>
  <si>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</si>
  <si>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</si>
  <si>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</si>
  <si>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</si>
  <si>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</si>
  <si>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</si>
  <si>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</si>
  <si>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</si>
  <si>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</si>
  <si>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</si>
  <si>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</si>
  <si>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</si>
  <si>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</si>
  <si>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</si>
  <si>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</si>
  <si>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</si>
  <si>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</si>
  <si>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</si>
  <si>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</si>
  <si>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</si>
  <si>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</si>
  <si>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</si>
  <si>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</si>
  <si>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</si>
  <si>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</si>
  <si>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</si>
  <si>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</si>
  <si>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</si>
  <si>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</si>
  <si>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</si>
  <si>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</si>
  <si>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</si>
  <si>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</si>
  <si>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</si>
  <si>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</si>
  <si>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</si>
  <si>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</si>
  <si>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</si>
  <si>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</si>
  <si>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</si>
  <si>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</si>
  <si>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</si>
  <si>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</si>
  <si>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</si>
  <si>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</si>
  <si>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</si>
  <si>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</si>
  <si>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</si>
  <si>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</si>
  <si>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</si>
  <si>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</si>
  <si>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</si>
  <si>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</si>
  <si>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</si>
  <si>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</si>
  <si>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</si>
  <si>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</si>
  <si>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</si>
  <si>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</si>
  <si>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</si>
  <si>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</si>
  <si>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</si>
  <si>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</si>
  <si>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</si>
  <si>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</si>
  <si>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</si>
  <si>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</si>
  <si>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</si>
  <si>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</si>
  <si>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</si>
  <si>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</si>
  <si>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</si>
  <si>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</si>
  <si>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</si>
  <si>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</si>
  <si>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</si>
  <si>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</si>
  <si>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</si>
  <si>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</si>
  <si>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</si>
  <si>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</si>
  <si>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</si>
  <si>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</si>
  <si>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</si>
  <si>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</si>
  <si>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</si>
  <si>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</si>
  <si>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</si>
  <si>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</si>
  <si>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</si>
  <si>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</si>
  <si>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</si>
  <si>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</si>
  <si>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</si>
  <si>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</si>
  <si>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</si>
  <si>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</si>
  <si>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</si>
  <si>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</si>
  <si>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</si>
  <si>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</si>
  <si>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</si>
  <si>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</si>
  <si>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</si>
  <si>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</si>
  <si>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</si>
  <si>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</si>
  <si>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</si>
  <si>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</si>
  <si>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</si>
  <si>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</si>
  <si>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</si>
  <si>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</si>
  <si>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</si>
  <si>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</si>
  <si>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</si>
  <si>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</si>
  <si>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</si>
  <si>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</si>
  <si>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</si>
  <si>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</si>
  <si>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</si>
  <si>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</si>
  <si>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</si>
  <si>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</si>
  <si>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</si>
  <si>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</si>
  <si>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</si>
  <si>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</si>
  <si>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</si>
  <si>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</si>
  <si>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</si>
  <si>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</si>
  <si>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</si>
  <si>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</si>
  <si>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</si>
  <si>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</si>
  <si>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</si>
  <si>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</si>
  <si>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</si>
  <si>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</si>
  <si>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</si>
  <si>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</si>
  <si>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</si>
  <si>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</si>
  <si>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</si>
  <si>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</si>
  <si>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</si>
  <si>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</si>
  <si>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</si>
  <si>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</si>
  <si>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</si>
  <si>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</si>
  <si>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</si>
  <si>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</si>
  <si>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</si>
  <si>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</si>
  <si>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</si>
  <si>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</si>
  <si>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</si>
  <si>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</si>
  <si>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</si>
  <si>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</si>
  <si>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</si>
  <si>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</si>
  <si>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</si>
  <si>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</si>
  <si>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</si>
  <si>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</si>
  <si>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</si>
  <si>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</si>
  <si>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</si>
  <si>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</si>
  <si>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</si>
  <si>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</si>
  <si>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</si>
  <si>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</si>
  <si>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</si>
  <si>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</si>
  <si>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</si>
  <si>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</si>
  <si>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</si>
  <si>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</si>
  <si>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</si>
  <si>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</si>
  <si>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</si>
  <si>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</si>
  <si>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</si>
  <si>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</si>
  <si>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</si>
  <si>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</si>
  <si>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</si>
  <si>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</si>
  <si>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</si>
  <si>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</si>
  <si>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</si>
  <si>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</si>
  <si>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</si>
  <si>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</si>
  <si>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</si>
  <si>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</si>
  <si>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</si>
  <si>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</si>
  <si>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</si>
  <si>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</si>
  <si>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</si>
  <si>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</si>
  <si>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</si>
  <si>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</si>
  <si>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</si>
  <si>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</si>
  <si>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</si>
  <si>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</si>
  <si>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</si>
  <si>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</si>
  <si>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</si>
  <si>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</si>
  <si>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</si>
  <si>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</si>
  <si>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</si>
  <si>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</si>
  <si>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</si>
  <si>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</si>
  <si>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</si>
  <si>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</si>
  <si>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</si>
  <si>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</si>
  <si>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</si>
  <si>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</si>
  <si>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</si>
  <si>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</si>
  <si>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</si>
  <si>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</si>
  <si>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</si>
  <si>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</si>
  <si>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</si>
  <si>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</si>
  <si>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</si>
  <si>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</si>
  <si>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</si>
  <si>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</si>
  <si>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</si>
  <si>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</si>
  <si>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</si>
  <si>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</si>
  <si>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</si>
  <si>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</si>
  <si>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</si>
  <si>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</si>
  <si>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</si>
  <si>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</si>
  <si>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</si>
  <si>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</si>
  <si>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</si>
  <si>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</si>
  <si>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</si>
  <si>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</si>
  <si>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</si>
  <si>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</si>
  <si>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</si>
  <si>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</si>
  <si>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</si>
  <si>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</si>
  <si>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</si>
  <si>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</si>
  <si>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</si>
  <si>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</si>
  <si>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</si>
  <si>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</si>
  <si>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</si>
  <si>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</si>
  <si>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</si>
  <si>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</si>
  <si>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</si>
  <si>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</si>
  <si>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 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</si>
  <si>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</si>
  <si>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</si>
  <si>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</si>
  <si>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é auto renovação</t>
    </r>
  </si>
  <si>
    <t xml:space="preserve">                É uma pergunta de negócio respondida através de alguma análise de dados especifica</t>
  </si>
  <si>
    <t>XBOX GAME PASS SUBSCRIPTIONS SALES</t>
  </si>
  <si>
    <t>Pergunta de Negócio 3 - Total de Vendas de Assiaturas do EA Play</t>
  </si>
  <si>
    <t>Soma de EA Play Season Pass</t>
  </si>
  <si>
    <t>Pergunta de Negócio 4 - Total de Vendas de Assiaturas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</si>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</sst>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64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4"/>
    <xf numFmtId="0" fontId="7" fillId="0" borderId="2" xfId="1" applyFont="1" applyBorder="1"/>
    <xf numFmtId="165" fontId="0" fillId="0" borderId="0" xfId="0" applyNumberFormat="1"/>
    <xf numFmtId="0" fontId="7" fillId="0" borderId="2" xfId="1" applyFont="1" applyBorder="1" applyAlignment="1">
      <alignment horizontal="left" indent="5"/>
    </xf>
    <xf numFmtId="0" fontId="0" fillId="0" borderId="2" xfId="0" applyBorder="1"/>
  </cellXfs>
  <cellStyles count="5">
    <cellStyle name="Moeda" xfId="2" builtinId="4"/>
    <cellStyle name="Neutro" xfId="4" builtinId="28"/>
    <cellStyle name="Normal" xfId="0" builtinId="0"/>
    <cellStyle name="Título 1" xfId="1" builtinId="16"/>
    <cellStyle name="Vírgula" xfId="3" builtinId="3"/>
  </cellStyles>
  <dxfs count="28"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EE53770-593E-42ED-985C-42B9EDC0A731}">
      <tableStyleElement type="wholeTable" dxfId="27"/>
      <tableStyleElement type="headerRow" dxfId="26"/>
    </tableStyle>
  </tableStyles>
  <colors>
    <mruColors>
      <color rgb="FF22C55E"/>
      <color rgb="FF2AE6B1"/>
      <color rgb="FFE8E6E9"/>
      <color rgb="FFCFCFCF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criando um dashboard de vendas do Xbox com Excel.xlsx]C̳álculos!tbl_annual_total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34358540609424E-2"/>
          <c:y val="0.22638254134317126"/>
          <c:w val="0.8851561118956579"/>
          <c:h val="0.713011398050768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6-4556-B34B-FCC0030EDF7E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E6-4556-B34B-FCC0030EDF7E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E6-4556-B34B-FCC0030EDF7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E6-4556-B34B-FCC0030ED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6-4556-B34B-FCC0030ED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9715800"/>
        <c:axId val="649716128"/>
      </c:barChart>
      <c:catAx>
        <c:axId val="649715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716128"/>
        <c:crosses val="autoZero"/>
        <c:auto val="1"/>
        <c:lblAlgn val="ctr"/>
        <c:lblOffset val="100"/>
        <c:noMultiLvlLbl val="0"/>
      </c:catAx>
      <c:valAx>
        <c:axId val="64971612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9715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184546</xdr:colOff>
      <xdr:row>1</xdr:row>
      <xdr:rowOff>130970</xdr:rowOff>
    </xdr:from>
    <xdr:to>
      <xdr:col>2</xdr:col>
      <xdr:colOff>577453</xdr:colOff>
      <xdr:row>2</xdr:row>
      <xdr:rowOff>226220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EE5526-F32D-4C09-B08F-FC8B69B96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4" t="18325" r="72668" b="20592"/>
        <a:stretch/>
      </xdr:blipFill>
      <xdr:spPr>
        <a:xfrm>
          <a:off x="2446734" y="309564"/>
          <a:ext cx="666750" cy="595312"/>
        </a:xfrm>
        <a:prstGeom prst="rect">
          <a:avLst/>
        </a:prstGeom>
      </xdr:spPr>
    </xdr:pic>
    <xdr:clientData/>
  </xdr:twoCellAnchor>
  <xdr:twoCellAnchor>
    <xdr:from>
      <xdr:col>2</xdr:col>
      <xdr:colOff>154781</xdr:colOff>
      <xdr:row>18</xdr:row>
      <xdr:rowOff>35719</xdr:rowOff>
    </xdr:from>
    <xdr:to>
      <xdr:col>18</xdr:col>
      <xdr:colOff>631033</xdr:colOff>
      <xdr:row>34</xdr:row>
      <xdr:rowOff>92871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33F9EC30-DDCD-48B5-8F4D-C400ACC1608F}"/>
            </a:ext>
          </a:extLst>
        </xdr:cNvPr>
        <xdr:cNvGrpSpPr/>
      </xdr:nvGrpSpPr>
      <xdr:grpSpPr>
        <a:xfrm>
          <a:off x="2690812" y="3869532"/>
          <a:ext cx="11334752" cy="2914652"/>
          <a:chOff x="1391063" y="773906"/>
          <a:chExt cx="4798217" cy="291465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9CE91CE-A52E-447B-B6AF-F531E2FDCD63}"/>
              </a:ext>
            </a:extLst>
          </xdr:cNvPr>
          <xdr:cNvSpPr/>
        </xdr:nvSpPr>
        <xdr:spPr>
          <a:xfrm>
            <a:off x="1391063" y="773906"/>
            <a:ext cx="4798217" cy="2845594"/>
          </a:xfrm>
          <a:prstGeom prst="roundRect">
            <a:avLst>
              <a:gd name="adj" fmla="val 4951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A276FDC-F1AB-41BB-999F-9647FF107375}"/>
              </a:ext>
            </a:extLst>
          </xdr:cNvPr>
          <xdr:cNvGraphicFramePr>
            <a:graphicFrameLocks/>
          </xdr:cNvGraphicFramePr>
        </xdr:nvGraphicFramePr>
        <xdr:xfrm>
          <a:off x="1474632" y="964408"/>
          <a:ext cx="4600575" cy="2724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59531</xdr:colOff>
      <xdr:row>7</xdr:row>
      <xdr:rowOff>178594</xdr:rowOff>
    </xdr:from>
    <xdr:to>
      <xdr:col>0</xdr:col>
      <xdr:colOff>2190750</xdr:colOff>
      <xdr:row>20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F4D026E-DDFA-4D00-978C-C74231096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1809750"/>
              <a:ext cx="2131219" cy="2428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190500</xdr:colOff>
      <xdr:row>7</xdr:row>
      <xdr:rowOff>190500</xdr:rowOff>
    </xdr:from>
    <xdr:to>
      <xdr:col>9</xdr:col>
      <xdr:colOff>595312</xdr:colOff>
      <xdr:row>15</xdr:row>
      <xdr:rowOff>164310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249D700-B84B-40CE-9F13-3A16D3862848}"/>
            </a:ext>
          </a:extLst>
        </xdr:cNvPr>
        <xdr:cNvGrpSpPr/>
      </xdr:nvGrpSpPr>
      <xdr:grpSpPr>
        <a:xfrm>
          <a:off x="2726531" y="1821656"/>
          <a:ext cx="5238750" cy="1640685"/>
          <a:chOff x="2440781" y="1809750"/>
          <a:chExt cx="4761416" cy="164068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1EB9BFA-BD96-4A3D-8750-2899A811A595}"/>
              </a:ext>
            </a:extLst>
          </xdr:cNvPr>
          <xdr:cNvSpPr/>
        </xdr:nvSpPr>
        <xdr:spPr>
          <a:xfrm>
            <a:off x="2440781" y="1821657"/>
            <a:ext cx="4750594" cy="1452562"/>
          </a:xfrm>
          <a:prstGeom prst="roundRect">
            <a:avLst>
              <a:gd name="adj" fmla="val 4935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35A050B0-10EC-44C1-B5E0-C963559E6E0E}"/>
              </a:ext>
            </a:extLst>
          </xdr:cNvPr>
          <xdr:cNvSpPr/>
        </xdr:nvSpPr>
        <xdr:spPr>
          <a:xfrm>
            <a:off x="4071940" y="2429342"/>
            <a:ext cx="2655092" cy="819148"/>
          </a:xfrm>
          <a:prstGeom prst="roundRect">
            <a:avLst>
              <a:gd name="adj" fmla="val 2639"/>
            </a:avLst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6DDC28F-76E0-4FB8-9161-5A5827512C09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239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3E45BBD-284B-4E6C-BE0A-8DC2BAFEDB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99764" y="2227397"/>
            <a:ext cx="1455516" cy="1223038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0A9F71A-51E3-49DD-AE97-9CCC65BE974F}"/>
              </a:ext>
            </a:extLst>
          </xdr:cNvPr>
          <xdr:cNvSpPr/>
        </xdr:nvSpPr>
        <xdr:spPr>
          <a:xfrm>
            <a:off x="2441865" y="1809750"/>
            <a:ext cx="4760332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631031</xdr:colOff>
      <xdr:row>7</xdr:row>
      <xdr:rowOff>202406</xdr:rowOff>
    </xdr:from>
    <xdr:to>
      <xdr:col>18</xdr:col>
      <xdr:colOff>595312</xdr:colOff>
      <xdr:row>15</xdr:row>
      <xdr:rowOff>11906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1A4C8A6-18D1-46A9-9865-6CC87EC69CB9}"/>
            </a:ext>
          </a:extLst>
        </xdr:cNvPr>
        <xdr:cNvGrpSpPr/>
      </xdr:nvGrpSpPr>
      <xdr:grpSpPr>
        <a:xfrm>
          <a:off x="8691562" y="1833562"/>
          <a:ext cx="5298281" cy="1476375"/>
          <a:chOff x="2419334" y="1797844"/>
          <a:chExt cx="4772041" cy="1476375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0EF1E36E-93B4-4E66-BDEA-6F91F23E01CC}"/>
              </a:ext>
            </a:extLst>
          </xdr:cNvPr>
          <xdr:cNvSpPr/>
        </xdr:nvSpPr>
        <xdr:spPr>
          <a:xfrm>
            <a:off x="2440781" y="1821657"/>
            <a:ext cx="4750594" cy="1452562"/>
          </a:xfrm>
          <a:prstGeom prst="roundRect">
            <a:avLst>
              <a:gd name="adj" fmla="val 4935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C36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1D26998E-B637-4876-9AFF-540C0D8F0AF5}"/>
              </a:ext>
            </a:extLst>
          </xdr:cNvPr>
          <xdr:cNvSpPr/>
        </xdr:nvSpPr>
        <xdr:spPr>
          <a:xfrm>
            <a:off x="4071940" y="2429342"/>
            <a:ext cx="2655092" cy="819148"/>
          </a:xfrm>
          <a:prstGeom prst="roundRect">
            <a:avLst>
              <a:gd name="adj" fmla="val 2639"/>
            </a:avLst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E497BA53-14CD-4720-AEB8-4F2726E2511E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R$ 940,00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8F3158A1-A94B-4275-88FD-8B3C309CFB44}"/>
              </a:ext>
            </a:extLst>
          </xdr:cNvPr>
          <xdr:cNvSpPr/>
        </xdr:nvSpPr>
        <xdr:spPr>
          <a:xfrm>
            <a:off x="2419334" y="1797844"/>
            <a:ext cx="4772041" cy="53578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71438</xdr:colOff>
      <xdr:row>10</xdr:row>
      <xdr:rowOff>59529</xdr:rowOff>
    </xdr:from>
    <xdr:to>
      <xdr:col>13</xdr:col>
      <xdr:colOff>416719</xdr:colOff>
      <xdr:row>13</xdr:row>
      <xdr:rowOff>166687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F76D737D-4EE1-47CE-98E5-064A8879D06E}"/>
            </a:ext>
          </a:extLst>
        </xdr:cNvPr>
        <xdr:cNvGrpSpPr/>
      </xdr:nvGrpSpPr>
      <xdr:grpSpPr>
        <a:xfrm>
          <a:off x="9322594" y="2464592"/>
          <a:ext cx="1035844" cy="642939"/>
          <a:chOff x="3495675" y="5400674"/>
          <a:chExt cx="1549476" cy="752476"/>
        </a:xfrm>
      </xdr:grpSpPr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82648E1D-B6A3-4D9A-A0AF-AC43C76C0A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0" name="Gráfico 29">
            <a:extLst>
              <a:ext uri="{FF2B5EF4-FFF2-40B4-BE49-F238E27FC236}">
                <a16:creationId xmlns:a16="http://schemas.microsoft.com/office/drawing/2014/main" id="{7024BD98-C0E6-4034-90F0-AB0ACF7932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142875</xdr:colOff>
      <xdr:row>18</xdr:row>
      <xdr:rowOff>11906</xdr:rowOff>
    </xdr:from>
    <xdr:to>
      <xdr:col>18</xdr:col>
      <xdr:colOff>642939</xdr:colOff>
      <xdr:row>20</xdr:row>
      <xdr:rowOff>154782</xdr:rowOff>
    </xdr:to>
    <xdr:sp macro="" textlink="">
      <xdr:nvSpPr>
        <xdr:cNvPr id="31" name="Retângulo: Cantos Superiores Arredondados 30">
          <a:extLst>
            <a:ext uri="{FF2B5EF4-FFF2-40B4-BE49-F238E27FC236}">
              <a16:creationId xmlns:a16="http://schemas.microsoft.com/office/drawing/2014/main" id="{784CF096-F21B-4D91-A9FD-385411A32B17}"/>
            </a:ext>
          </a:extLst>
        </xdr:cNvPr>
        <xdr:cNvSpPr/>
      </xdr:nvSpPr>
      <xdr:spPr>
        <a:xfrm>
          <a:off x="2678906" y="3845719"/>
          <a:ext cx="11358564" cy="50006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583406</xdr:colOff>
      <xdr:row>1</xdr:row>
      <xdr:rowOff>154780</xdr:rowOff>
    </xdr:from>
    <xdr:to>
      <xdr:col>0</xdr:col>
      <xdr:colOff>1428749</xdr:colOff>
      <xdr:row>2</xdr:row>
      <xdr:rowOff>392906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BFA48A0A-3586-4893-8DA0-14F6EB84351E}"/>
            </a:ext>
          </a:extLst>
        </xdr:cNvPr>
        <xdr:cNvSpPr/>
      </xdr:nvSpPr>
      <xdr:spPr>
        <a:xfrm>
          <a:off x="583406" y="333374"/>
          <a:ext cx="845343" cy="73818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202405</xdr:colOff>
      <xdr:row>3</xdr:row>
      <xdr:rowOff>59531</xdr:rowOff>
    </xdr:from>
    <xdr:to>
      <xdr:col>0</xdr:col>
      <xdr:colOff>1952624</xdr:colOff>
      <xdr:row>6</xdr:row>
      <xdr:rowOff>59531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0181E7A-9D03-44F7-BAFA-467F898266D7}"/>
            </a:ext>
          </a:extLst>
        </xdr:cNvPr>
        <xdr:cNvSpPr/>
      </xdr:nvSpPr>
      <xdr:spPr>
        <a:xfrm>
          <a:off x="202405" y="1238250"/>
          <a:ext cx="1750219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&gt;</a:t>
          </a:r>
          <a:r>
            <a:rPr lang="pt-BR" sz="1200" b="1" baseline="0">
              <a:solidFill>
                <a:schemeClr val="bg1"/>
              </a:solidFill>
            </a:rPr>
            <a:t> </a:t>
          </a:r>
          <a:r>
            <a:rPr lang="pt-BR" sz="1200" b="1">
              <a:solidFill>
                <a:schemeClr val="bg1"/>
              </a:solidFill>
            </a:rPr>
            <a:t>Bem</a:t>
          </a:r>
          <a:r>
            <a:rPr lang="pt-BR" sz="1200" b="1" baseline="0">
              <a:solidFill>
                <a:schemeClr val="bg1"/>
              </a:solidFill>
            </a:rPr>
            <a:t> Vinda, Liana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285746</xdr:colOff>
      <xdr:row>3</xdr:row>
      <xdr:rowOff>71438</xdr:rowOff>
    </xdr:from>
    <xdr:to>
      <xdr:col>9</xdr:col>
      <xdr:colOff>595312</xdr:colOff>
      <xdr:row>6</xdr:row>
      <xdr:rowOff>71438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7E1CC03D-A2A6-4F8D-BCF9-F918A888ED3D}"/>
            </a:ext>
          </a:extLst>
        </xdr:cNvPr>
        <xdr:cNvSpPr/>
      </xdr:nvSpPr>
      <xdr:spPr>
        <a:xfrm>
          <a:off x="2821777" y="1250157"/>
          <a:ext cx="5143504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200" b="0" baseline="0">
              <a:solidFill>
                <a:schemeClr val="bg1">
                  <a:lumMod val="50000"/>
                </a:schemeClr>
              </a:solidFill>
            </a:rPr>
            <a:t>Calculation period: 01/12/2024 - 31/12/2024 / Update: 25/12/2024 09:00:00</a:t>
          </a:r>
          <a:endParaRPr lang="pt-BR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a" refreshedDate="46288.693688194442" createdVersion="6" refreshedVersion="6" minRefreshableVersion="3" recordCount="295" xr:uid="{FC4882D1-30D8-492A-8259-B39C9932C2C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474549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CD6C6-E755-4F17-9967-CC385D2A093A}" name="tbl_easeas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5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5F5CB-7594-4B58-912A-D3CA2F38E66D}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10">
      <pivotArea outline="0" collapsedLevelsAreSubtotals="1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4C8FD-6790-4912-AF4A-2723A43854EE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A9CB8B8-FD19-4B66-8E70-5020B4F48E0D}" sourceName="Subscription Type">
  <pivotTables>
    <pivotTable tabId="3" name="tbl_annual_total"/>
    <pivotTable tabId="3" name="tbl_easeaspass_total"/>
    <pivotTable tabId="3" name="Tabela dinâmica2"/>
  </pivotTables>
  <data>
    <tabular pivotCacheId="44745495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9F3A1C0-6001-45FA-BE59-D00E1942FE45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/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19" sqref="A1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  <c r="K6" s="12"/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275" zoomScale="90" zoomScaleNormal="90" workbookViewId="0">
      <selection activeCell="A19" sqref="A19"/>
    </sheetView>
  </sheetViews>
  <sheetFormatPr defaultRowHeight="14.25"/>
  <cols>
    <col min="1" max="1" width="17.875" bestFit="1" customWidth="1"/>
    <col min="2" max="2" width="18.875" bestFit="1" customWidth="1"/>
    <col min="3" max="3" width="9.375" customWidth="1"/>
    <col min="4" max="4" width="14.125" bestFit="1" customWidth="1"/>
    <col min="5" max="5" width="18" bestFit="1" customWidth="1"/>
    <col min="6" max="6" width="14.625" bestFit="1" customWidth="1"/>
    <col min="7" max="7" width="22" bestFit="1" customWidth="1"/>
    <col min="8" max="8" width="20.625" bestFit="1" customWidth="1"/>
    <col min="9" max="9" width="20.625" customWidth="1"/>
    <col min="10" max="10" width="16.625" bestFit="1" customWidth="1"/>
    <col min="11" max="11" width="21.25" bestFit="1" customWidth="1"/>
    <col min="12" max="12" width="12.62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16" workbookViewId="0">
      <selection activeCell="A19" sqref="A19"/>
    </sheetView>
  </sheetViews>
  <sheetFormatPr defaultRowHeight="14.25"/>
  <cols>
    <col min="2" max="2" width="18" bestFit="1" customWidth="1"/>
    <col min="3" max="3" width="35.125" bestFit="1" customWidth="1"/>
    <col min="4" max="4" width="29.125" customWidth="1"/>
    <col min="5" max="5" width="10.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625" bestFit="1" customWidth="1"/>
    <col min="16" max="16" width="15.625" bestFit="1" customWidth="1"/>
    <col min="17" max="17" width="12.125" bestFit="1" customWidth="1"/>
  </cols>
  <sheetData>
    <row r="3" spans="2:6">
      <c r="B3" s="16" t="s">
        <v>318</v>
      </c>
      <c r="C3" s="16"/>
      <c r="D3" s="16"/>
      <c r="E3" s="16"/>
      <c r="F3" s="16"/>
    </row>
    <row r="6" spans="2:6" ht="15">
      <c r="B6" t="s">
        <v>313</v>
      </c>
    </row>
    <row r="7" spans="2:6" ht="15">
      <c r="B7" t="s">
        <v>317</v>
      </c>
    </row>
    <row r="9" spans="2:6">
      <c r="B9" s="13" t="s">
        <v>16</v>
      </c>
      <c r="C9" t="s">
        <v>24</v>
      </c>
    </row>
    <row r="11" spans="2:6">
      <c r="B11" s="13" t="s">
        <v>314</v>
      </c>
      <c r="C11" t="s">
        <v>316</v>
      </c>
    </row>
    <row r="12" spans="2:6">
      <c r="B12" s="14" t="s">
        <v>23</v>
      </c>
      <c r="C12" s="15">
        <v>217</v>
      </c>
    </row>
    <row r="13" spans="2:6">
      <c r="B13" s="14" t="s">
        <v>19</v>
      </c>
      <c r="C13" s="15">
        <v>1537</v>
      </c>
    </row>
    <row r="14" spans="2:6">
      <c r="B14" s="14" t="s">
        <v>315</v>
      </c>
      <c r="C14" s="15">
        <v>1754</v>
      </c>
    </row>
    <row r="17" spans="2:5">
      <c r="B17" t="s">
        <v>320</v>
      </c>
    </row>
    <row r="19" spans="2:5">
      <c r="B19" s="13" t="s">
        <v>16</v>
      </c>
      <c r="C19" t="s">
        <v>24</v>
      </c>
    </row>
    <row r="21" spans="2:5">
      <c r="B21" s="13" t="s">
        <v>314</v>
      </c>
      <c r="C21" t="s">
        <v>321</v>
      </c>
    </row>
    <row r="22" spans="2:5">
      <c r="B22" s="14" t="s">
        <v>22</v>
      </c>
      <c r="C22" s="18">
        <v>0</v>
      </c>
    </row>
    <row r="23" spans="2:5">
      <c r="B23" s="14" t="s">
        <v>26</v>
      </c>
      <c r="C23" s="18">
        <v>0</v>
      </c>
    </row>
    <row r="24" spans="2:5">
      <c r="B24" s="14" t="s">
        <v>18</v>
      </c>
      <c r="C24" s="18">
        <v>600</v>
      </c>
    </row>
    <row r="25" spans="2:5">
      <c r="B25" s="14" t="s">
        <v>315</v>
      </c>
      <c r="C25" s="18">
        <v>600</v>
      </c>
      <c r="E25" s="18">
        <f>C25</f>
        <v>600</v>
      </c>
    </row>
    <row r="28" spans="2:5">
      <c r="B28" t="s">
        <v>322</v>
      </c>
    </row>
    <row r="30" spans="2:5">
      <c r="B30" s="13" t="s">
        <v>16</v>
      </c>
      <c r="C30" t="s">
        <v>24</v>
      </c>
    </row>
    <row r="32" spans="2:5">
      <c r="B32" s="13" t="s">
        <v>314</v>
      </c>
      <c r="C32" t="s">
        <v>323</v>
      </c>
    </row>
    <row r="33" spans="2:5">
      <c r="B33" s="14" t="s">
        <v>22</v>
      </c>
      <c r="C33" s="18">
        <v>0</v>
      </c>
    </row>
    <row r="34" spans="2:5">
      <c r="B34" s="14" t="s">
        <v>26</v>
      </c>
      <c r="C34" s="18">
        <v>540</v>
      </c>
    </row>
    <row r="35" spans="2:5">
      <c r="B35" s="14" t="s">
        <v>18</v>
      </c>
      <c r="C35" s="18">
        <v>400</v>
      </c>
    </row>
    <row r="36" spans="2:5">
      <c r="B36" s="14" t="s">
        <v>315</v>
      </c>
      <c r="C36" s="18">
        <v>940</v>
      </c>
      <c r="E36" s="18">
        <f>C36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05"/>
  <sheetViews>
    <sheetView showGridLines="0" showRowColHeaders="0" tabSelected="1" zoomScale="80" zoomScaleNormal="80" workbookViewId="0">
      <selection activeCell="U19" sqref="T19:U20"/>
    </sheetView>
  </sheetViews>
  <sheetFormatPr defaultRowHeight="14.25"/>
  <cols>
    <col min="1" max="1" width="29.75" style="4" customWidth="1"/>
    <col min="2" max="2" width="3.625" customWidth="1"/>
    <col min="12" max="12" width="6.625" customWidth="1"/>
  </cols>
  <sheetData>
    <row r="2" spans="1:19" ht="39" customHeight="1" thickBot="1">
      <c r="C2" s="19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0"/>
      <c r="S2" s="20"/>
    </row>
    <row r="3" spans="1:19" ht="39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33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51b35d3-0456-4d6a-bc2f-da927e91d158"/>
    <ds:schemaRef ds:uri="19483571-f922-4e8e-9c1c-26f0a22521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www.w3.org/2000/xmlns/"/>
    <ds:schemaRef ds:uri="851b35d3-0456-4d6a-bc2f-da927e91d158"/>
    <ds:schemaRef ds:uri="http://schemas.microsoft.com/office/infopath/2007/PartnerControls"/>
    <ds:schemaRef ds:uri="19483571-f922-4e8e-9c1c-26f0a225213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Juliana</cp:lastModifiedBy>
  <dcterms:created xsi:type="dcterms:W3CDTF">2024-12-19T13:13:10Z</dcterms:created>
  <dcterms:modified xsi:type="dcterms:W3CDTF">2026-09-28T18:53:25Z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